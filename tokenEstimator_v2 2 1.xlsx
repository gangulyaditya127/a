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his\"/>
    </mc:Choice>
  </mc:AlternateContent>
  <xr:revisionPtr revIDLastSave="4" documentId="8_{54879D2C-08AB-4732-AE6D-9AF2B7BD65DA}" xr6:coauthVersionLast="47" xr6:coauthVersionMax="47" xr10:uidLastSave="{8EB63432-60EE-4C7E-87FB-92174DD3C8A2}"/>
  <bookViews>
    <workbookView xWindow="-110" yWindow="-110" windowWidth="19420" windowHeight="10300" activeTab="2" xr2:uid="{C0E466F8-139F-4F25-BEE4-0FC324224887}"/>
  </bookViews>
  <sheets>
    <sheet name="Cover_Sheet" sheetId="3" r:id="rId1"/>
    <sheet name="Calculation Detail" sheetId="1" r:id="rId2"/>
    <sheet name="Configuration" sheetId="2" r:id="rId3"/>
    <sheet name="Comparis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6" i="2"/>
  <c r="H20" i="1" s="1"/>
  <c r="D7" i="2" l="1"/>
  <c r="D6" i="2"/>
  <c r="G20" i="1" s="1"/>
  <c r="C7" i="2"/>
  <c r="C6" i="2"/>
  <c r="F20" i="1" s="1"/>
  <c r="B7" i="2"/>
  <c r="A21" i="1"/>
  <c r="B6" i="2" l="1"/>
  <c r="J5" i="1"/>
  <c r="J4" i="1"/>
  <c r="J3" i="1"/>
  <c r="H5" i="1"/>
  <c r="H4" i="1"/>
  <c r="H3" i="1"/>
  <c r="F5" i="1"/>
  <c r="F4" i="1"/>
  <c r="F3" i="1"/>
  <c r="E5" i="1"/>
  <c r="E4" i="1"/>
  <c r="E3" i="1"/>
  <c r="J6" i="1" l="1"/>
  <c r="H6" i="1"/>
  <c r="C14" i="1" s="1"/>
  <c r="F6" i="1"/>
  <c r="E6" i="1"/>
  <c r="C9" i="1" l="1"/>
  <c r="C8" i="1"/>
  <c r="D14" i="1"/>
  <c r="H14" i="1" s="1"/>
  <c r="F14" i="1"/>
  <c r="G14" i="1"/>
  <c r="E14" i="1" l="1"/>
  <c r="D8" i="1"/>
  <c r="H8" i="1"/>
  <c r="D9" i="1"/>
  <c r="H9" i="1" s="1"/>
  <c r="G8" i="1" l="1"/>
  <c r="C10" i="1"/>
  <c r="C11" i="1"/>
  <c r="G9" i="1"/>
  <c r="E9" i="1"/>
  <c r="E8" i="1"/>
  <c r="F9" i="1"/>
  <c r="F8" i="1"/>
  <c r="D11" i="1" l="1"/>
  <c r="C12" i="1" s="1"/>
  <c r="D10" i="1"/>
  <c r="E10" i="1" s="1"/>
  <c r="H10" i="1" l="1"/>
  <c r="G10" i="1"/>
  <c r="F10" i="1"/>
  <c r="H11" i="1"/>
  <c r="G11" i="1"/>
  <c r="D12" i="1"/>
  <c r="H12" i="1"/>
  <c r="F12" i="1"/>
  <c r="E12" i="1"/>
  <c r="E11" i="1"/>
  <c r="F11" i="1"/>
  <c r="G12" i="1" l="1"/>
  <c r="C16" i="1"/>
  <c r="C13" i="1"/>
  <c r="C17" i="1"/>
  <c r="D16" i="1" l="1"/>
  <c r="H16" i="1" s="1"/>
  <c r="F16" i="1"/>
  <c r="E16" i="1"/>
  <c r="G16" i="1"/>
  <c r="D17" i="1"/>
  <c r="H17" i="1"/>
  <c r="G17" i="1"/>
  <c r="F17" i="1"/>
  <c r="E17" i="1"/>
  <c r="D13" i="1"/>
  <c r="E13" i="1"/>
  <c r="H13" i="1" l="1"/>
  <c r="C15" i="1"/>
  <c r="F13" i="1"/>
  <c r="G13" i="1"/>
  <c r="D15" i="1" l="1"/>
  <c r="C18" i="1" s="1"/>
  <c r="E15" i="1"/>
  <c r="G15" i="1"/>
  <c r="H15" i="1"/>
  <c r="C19" i="1"/>
  <c r="D18" i="1" l="1"/>
  <c r="D19" i="1" s="1"/>
  <c r="G19" i="1" s="1"/>
  <c r="G18" i="1"/>
  <c r="H18" i="1"/>
  <c r="F18" i="1"/>
  <c r="E18" i="1"/>
  <c r="E19" i="1" s="1"/>
  <c r="B21" i="1" s="1"/>
  <c r="F15" i="1"/>
  <c r="F19" i="1" l="1"/>
  <c r="H19" i="1"/>
</calcChain>
</file>

<file path=xl/sharedStrings.xml><?xml version="1.0" encoding="utf-8"?>
<sst xmlns="http://schemas.openxmlformats.org/spreadsheetml/2006/main" count="150" uniqueCount="134">
  <si>
    <t>Section</t>
  </si>
  <si>
    <t>Description</t>
  </si>
  <si>
    <t>Objective</t>
  </si>
  <si>
    <t>To estimate LLM token utilization and cost for 1,000 AMS tickets across multiple agent interactions using Gemini 2.5 Pro model.</t>
  </si>
  <si>
    <t>Calculation Approach</t>
  </si>
  <si>
    <t>1. Calculate Input Tokens from word count using Token-Word Ratio and Prompt Overhead.
2. Add Historical Resolution and Knowledge Article tokens for full context.
3. Compute total input tokens per 1,000 tickets.
4. Apply Gemini 2.5 Pro pricing: $1.25/Million for input, $10/Million for output.
5. Assume output token based on input token in different agents</t>
  </si>
  <si>
    <t>Key Definitions</t>
  </si>
  <si>
    <t>Token-Word Ratio: Conversion factor from words to tokens (default = 1.5).
Prompt Overhead: Additional system and instruction tokens (default = 1.3).
Historical Resolution: Past incident text added to context.
Knowledge Article Tokens: Tokens from top-N referenced KB articles.</t>
  </si>
  <si>
    <t>Model Reference</t>
  </si>
  <si>
    <t>Gemini 2.5 Pro — Input: $1.25/M, Output: $10/M (≤200K context window).</t>
  </si>
  <si>
    <t>Output Summary</t>
  </si>
  <si>
    <t>Per 1,000 Tickets:
- Input Tokens ≈124,64304 output Token: 162,21618
- Cost ≈ $150.25 -  $225.38</t>
  </si>
  <si>
    <t>Estimation for LLM cost /1000 ticket</t>
  </si>
  <si>
    <t>Ticket Type</t>
  </si>
  <si>
    <t>proportion</t>
  </si>
  <si>
    <t>Average Word count Per ticket</t>
  </si>
  <si>
    <t>log volume</t>
  </si>
  <si>
    <t>Input Token Per 1000 ticket</t>
  </si>
  <si>
    <t>Log token</t>
  </si>
  <si>
    <t>historical resolution volume in word</t>
  </si>
  <si>
    <t>Historical resolution Token</t>
  </si>
  <si>
    <t>KA</t>
  </si>
  <si>
    <t>KA Token</t>
  </si>
  <si>
    <t>System Ticket</t>
  </si>
  <si>
    <t>User Ticket</t>
  </si>
  <si>
    <t>User Request</t>
  </si>
  <si>
    <t xml:space="preserve">Agent </t>
  </si>
  <si>
    <t>input token out put token rato</t>
  </si>
  <si>
    <t>Input Token</t>
  </si>
  <si>
    <t>Output token</t>
  </si>
  <si>
    <t>Gemini 2.5 Pro</t>
  </si>
  <si>
    <t>Gemini 2.5 Flash</t>
  </si>
  <si>
    <t>Gemini 2.5 Flash-Lite</t>
  </si>
  <si>
    <t>Gemini 1.5 Pro</t>
  </si>
  <si>
    <t>Reasoning Requirement</t>
  </si>
  <si>
    <t>Incident categorization</t>
  </si>
  <si>
    <t>High</t>
  </si>
  <si>
    <t>Data Quality Check</t>
  </si>
  <si>
    <t>Medium</t>
  </si>
  <si>
    <t>Severity check</t>
  </si>
  <si>
    <t>Log analysis</t>
  </si>
  <si>
    <t>Root cause analysis</t>
  </si>
  <si>
    <t>SOP from KA</t>
  </si>
  <si>
    <t>Historical Ticket resolution</t>
  </si>
  <si>
    <t>Final Resoluton</t>
  </si>
  <si>
    <t>problem ticket identification</t>
  </si>
  <si>
    <t>Self heal Script find</t>
  </si>
  <si>
    <t>Generate clousure Summary</t>
  </si>
  <si>
    <t>Low</t>
  </si>
  <si>
    <t>$150.25 -  $225.38</t>
  </si>
  <si>
    <t>Token word ratio</t>
  </si>
  <si>
    <t>Ticket Number</t>
  </si>
  <si>
    <t>top n resolution n=</t>
  </si>
  <si>
    <t>Prompt Overhead</t>
  </si>
  <si>
    <t>Model</t>
  </si>
  <si>
    <t>Input</t>
  </si>
  <si>
    <t>Output</t>
  </si>
  <si>
    <t>deviation %</t>
  </si>
  <si>
    <t>Category</t>
  </si>
  <si>
    <t>Gemini 2.5 Flash Lite</t>
  </si>
  <si>
    <t>Core Type</t>
  </si>
  <si>
    <t>Advanced reasoning &amp; orchestration model</t>
  </si>
  <si>
    <t>Balanced reasoning + speed model</t>
  </si>
  <si>
    <t>Lightweight reasoning + classification engine</t>
  </si>
  <si>
    <t>First-gen multimodal model</t>
  </si>
  <si>
    <t>Reasoning Depth</t>
  </si>
  <si>
    <r>
      <t>🔹</t>
    </r>
    <r>
      <rPr>
        <sz val="10"/>
        <color rgb="FF000000"/>
        <rFont val="Aptos"/>
      </rPr>
      <t xml:space="preserve"> Multi-step, causal &amp; temporal reasoning (chain of thought, RCA, impact analysis)</t>
    </r>
  </si>
  <si>
    <r>
      <t>🔹</t>
    </r>
    <r>
      <rPr>
        <sz val="10"/>
        <color rgb="FF000000"/>
        <rFont val="Aptos"/>
      </rPr>
      <t xml:space="preserve"> Medium reasoning (multi-hop causal inference)</t>
    </r>
  </si>
  <si>
    <r>
      <t>⚪</t>
    </r>
    <r>
      <rPr>
        <sz val="10"/>
        <color rgb="FF000000"/>
        <rFont val="Aptos"/>
      </rPr>
      <t xml:space="preserve"> Limited reasoning (rule/heuristic-based)</t>
    </r>
  </si>
  <si>
    <r>
      <t>⚪</t>
    </r>
    <r>
      <rPr>
        <sz val="10"/>
        <color rgb="FF000000"/>
        <rFont val="Aptos"/>
      </rPr>
      <t xml:space="preserve"> Basic associative reasoning</t>
    </r>
  </si>
  <si>
    <t>Context Window</t>
  </si>
  <si>
    <t>Up to 1 million tokens</t>
  </si>
  <si>
    <t>Up to 1 million tokens (optimized memory use)</t>
  </si>
  <si>
    <t>128 K – 1 M tokens (depending on tier)</t>
  </si>
  <si>
    <t>Knowledge Handling (RAG)</t>
  </si>
  <si>
    <t>Native retrieval grounding + context persistence; ideal for knowledge-based RCA</t>
  </si>
  <si>
    <t>Supports RAG via API tools; performs well on summarization tasks</t>
  </si>
  <si>
    <t>RAG-lite (vector lookup, minimal reasoning layer)</t>
  </si>
  <si>
    <t>External RAG required</t>
  </si>
  <si>
    <t>Multi-Agent Coordination</t>
  </si>
  <si>
    <r>
      <t>✅</t>
    </r>
    <r>
      <rPr>
        <sz val="10"/>
        <color rgb="FF000000"/>
        <rFont val="Aptos"/>
      </rPr>
      <t xml:space="preserve"> Full agentic orchestration (multiple reasoning threads, role-based chaining)</t>
    </r>
  </si>
  <si>
    <r>
      <t>⚙️</t>
    </r>
    <r>
      <rPr>
        <sz val="10"/>
        <color rgb="FF000000"/>
        <rFont val="Aptos"/>
      </rPr>
      <t xml:space="preserve"> Partial agent support (parallel classification + summary agents)</t>
    </r>
  </si>
  <si>
    <r>
      <t>⚪</t>
    </r>
    <r>
      <rPr>
        <sz val="10"/>
        <color rgb="FF000000"/>
        <rFont val="Aptos"/>
      </rPr>
      <t xml:space="preserve"> Minimal agentic support (sequential tasks only)</t>
    </r>
  </si>
  <si>
    <r>
      <t>⚪</t>
    </r>
    <r>
      <rPr>
        <sz val="10"/>
        <color rgb="FF000000"/>
        <rFont val="Aptos"/>
      </rPr>
      <t xml:space="preserve"> Single-flow operation</t>
    </r>
  </si>
  <si>
    <t>Log / Event Analysis</t>
  </si>
  <si>
    <t>Deep semantic parsing of log data and root-cause extraction</t>
  </si>
  <si>
    <t>Efficient pattern recognition across large ticket/log corpora</t>
  </si>
  <si>
    <t>Quick keyword / pattern detection (not deep reasoning)</t>
  </si>
  <si>
    <t>Basic text summarization only</t>
  </si>
  <si>
    <t>Knowledge-Article Summarization</t>
  </si>
  <si>
    <t>Structured summarization + context linking</t>
  </si>
  <si>
    <t>Fast summarization, less structured linking</t>
  </si>
  <si>
    <t>Short-form, fast summaries</t>
  </si>
  <si>
    <t>Simple abstracts</t>
  </si>
  <si>
    <t>Auto-Resolution Drafting</t>
  </si>
  <si>
    <t>Generates RCA + step-wise fix plan</t>
  </si>
  <si>
    <t>Suggests fix templates</t>
  </si>
  <si>
    <t>One-line fix recommendation</t>
  </si>
  <si>
    <t>Limited</t>
  </si>
  <si>
    <t>Decision Confidence Scoring</t>
  </si>
  <si>
    <t>Built-in reasoning trace confidence + probability scoring</t>
  </si>
  <si>
    <t>Basic ranking scores</t>
  </si>
  <si>
    <t>None (deterministic)</t>
  </si>
  <si>
    <t>None</t>
  </si>
  <si>
    <t>Memory / Context Persistence</t>
  </si>
  <si>
    <t>Long-term session memory for ongoing incidents</t>
  </si>
  <si>
    <t>Mid-term context handling</t>
  </si>
  <si>
    <t>Stateless</t>
  </si>
  <si>
    <t>Short-term only</t>
  </si>
  <si>
    <t>Multimodal Inputs (logs, images, metrics)</t>
  </si>
  <si>
    <r>
      <t>✅</t>
    </r>
    <r>
      <rPr>
        <sz val="10"/>
        <color rgb="FF000000"/>
        <rFont val="Aptos"/>
      </rPr>
      <t xml:space="preserve"> Full multimodal ingestion (logs, images, PDFs, traces)</t>
    </r>
  </si>
  <si>
    <r>
      <t>⚙️</t>
    </r>
    <r>
      <rPr>
        <sz val="10"/>
        <color rgb="FF000000"/>
        <rFont val="Aptos"/>
      </rPr>
      <t xml:space="preserve"> Partial multimodal (text + structured data)</t>
    </r>
  </si>
  <si>
    <r>
      <t>🟡</t>
    </r>
    <r>
      <rPr>
        <sz val="10"/>
        <color rgb="FF000000"/>
        <rFont val="Aptos"/>
      </rPr>
      <t xml:space="preserve"> Text-only optimized</t>
    </r>
  </si>
  <si>
    <r>
      <t>🟡</t>
    </r>
    <r>
      <rPr>
        <sz val="10"/>
        <color rgb="FF000000"/>
        <rFont val="Aptos"/>
      </rPr>
      <t xml:space="preserve"> Text + image basic</t>
    </r>
  </si>
  <si>
    <t>Latency (relative)</t>
  </si>
  <si>
    <r>
      <t>⏱</t>
    </r>
    <r>
      <rPr>
        <sz val="10"/>
        <color rgb="FF000000"/>
        <rFont val="Aptos"/>
      </rPr>
      <t xml:space="preserve"> Slowest (deep reasoning, multi-step chain)</t>
    </r>
  </si>
  <si>
    <r>
      <t>⚖️</t>
    </r>
    <r>
      <rPr>
        <sz val="10"/>
        <color rgb="FF000000"/>
        <rFont val="Aptos"/>
      </rPr>
      <t xml:space="preserve"> Balanced speed + depth</t>
    </r>
  </si>
  <si>
    <r>
      <t>⚡</t>
    </r>
    <r>
      <rPr>
        <sz val="10"/>
        <color rgb="FF000000"/>
        <rFont val="Aptos"/>
      </rPr>
      <t xml:space="preserve"> Fastest (single-pass inference)</t>
    </r>
  </si>
  <si>
    <r>
      <t>⏱</t>
    </r>
    <r>
      <rPr>
        <sz val="10"/>
        <color rgb="FF000000"/>
        <rFont val="Aptos"/>
      </rPr>
      <t xml:space="preserve"> Moderate</t>
    </r>
  </si>
  <si>
    <t>Throughput / Scalability</t>
  </si>
  <si>
    <t>Good for RCA &amp; escalation tickets</t>
  </si>
  <si>
    <t>Excellent for day-to-day triage</t>
  </si>
  <si>
    <t>Outstanding for mass low-priority alerts</t>
  </si>
  <si>
    <t>Average</t>
  </si>
  <si>
    <t>Best Fit in AMS Flow</t>
  </si>
  <si>
    <t>RCA / Change-impact / Anomaly Detection</t>
  </si>
  <si>
    <t>Ticket Classification / Summary Generation</t>
  </si>
  <si>
    <t>Alert Noise Reduction / Low-value Resolution</t>
  </si>
  <si>
    <t>Legacy Support / General Assist</t>
  </si>
  <si>
    <t>Agentic Stack Role</t>
  </si>
  <si>
    <t>“Chief Analyst” agent (deep thinking)</t>
  </si>
  <si>
    <t>“Coordinator” agent (task routing + summarization)</t>
  </si>
  <si>
    <t>“Assistant” agent (fast responders)</t>
  </si>
  <si>
    <t>“Helper” agent (fallback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</si>
</sst>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000000"/>
      <name val="Aptos"/>
    </font>
    <font>
      <sz val="10"/>
      <color rgb="FF000000"/>
      <name val="Aptos"/>
    </font>
    <font>
      <sz val="10"/>
      <color rgb="FF000000"/>
      <name val="Segoe UI Emoj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Aptos"/>
    </font>
    <font>
      <b/>
      <sz val="14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5" fontId="2" fillId="0" borderId="0" xfId="0" applyNumberFormat="1" applyFont="1"/>
    <xf numFmtId="0" fontId="0" fillId="0" borderId="0" xfId="0" applyAlignment="1">
      <alignment wrapText="1"/>
    </xf>
    <xf numFmtId="9" fontId="0" fillId="0" borderId="0" xfId="2" applyFont="1"/>
    <xf numFmtId="2" fontId="0" fillId="0" borderId="0" xfId="2" applyNumberFormat="1" applyFont="1"/>
    <xf numFmtId="164" fontId="0" fillId="0" borderId="0" xfId="0" applyNumberFormat="1"/>
    <xf numFmtId="39" fontId="2" fillId="0" borderId="0" xfId="0" applyNumberFormat="1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2" xfId="0" applyBorder="1" applyAlignment="1">
      <alignment wrapText="1"/>
    </xf>
    <xf numFmtId="164" fontId="2" fillId="0" borderId="0" xfId="0" applyNumberFormat="1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vertical="center" wrapText="1"/>
    </xf>
    <xf numFmtId="2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wrapText="1"/>
    </xf>
    <xf numFmtId="0" fontId="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"/>
        <scheme val="none"/>
      </font>
      <alignment horizontal="center" vertical="top" textRotation="0" wrapText="1" indent="0" justifyLastLine="0" shrinkToFit="0" readingOrder="0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30A9FA-5F7C-49B9-AB85-9872376A5321}" name="Table1" displayName="Table1" ref="A1:B6" totalsRowShown="0" headerRowDxfId="24" headerRowBorderDxfId="22" tableBorderDxfId="23">
  <autoFilter ref="A1:B6" xr:uid="{0413189C-1767-448A-AB2A-DEC4C56926B9}"/>
  <tableColumns count="2">
    <tableColumn id="1" xr3:uid="{919935A6-0949-4A69-9728-12A0C97DE652}" name="Section" dataDxfId="21"/>
    <tableColumn id="2" xr3:uid="{BDFD91BA-46F2-4D7C-A98F-055A2CF7663F}" name="Description" dataDxfId="2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BD5B5-E34F-4E5C-BE94-DDCC9F7C7008}" name="Table3" displayName="Table3" ref="A2:J6" totalsRowShown="0" dataDxfId="19" dataCellStyle="Comma">
  <autoFilter ref="A2:J6" xr:uid="{B88BD5B5-E34F-4E5C-BE94-DDCC9F7C7008}"/>
  <tableColumns count="10">
    <tableColumn id="1" xr3:uid="{782710F2-50A5-4ABD-A370-CC3E4B67E6A0}" name="Ticket Type"/>
    <tableColumn id="2" xr3:uid="{ADA1F03E-73F2-42A0-8E82-BBDF390165BC}" name="proportion" dataDxfId="18"/>
    <tableColumn id="3" xr3:uid="{44DB8605-1970-4737-8B34-B6A8A8FC64A9}" name="Average Word count Per ticket"/>
    <tableColumn id="4" xr3:uid="{D98AB5CB-50A9-43C7-B808-BC8E506542F8}" name="log volume"/>
    <tableColumn id="5" xr3:uid="{A6F0B1D1-9C9E-48E2-8427-787C50BD4E97}" name="Input Token Per 1000 ticket" dataDxfId="17" dataCellStyle="Comma"/>
    <tableColumn id="6" xr3:uid="{2D222C3F-7726-4D20-A3E0-63B183C57DD1}" name="Log token" dataDxfId="16" dataCellStyle="Comma"/>
    <tableColumn id="7" xr3:uid="{A41B5379-B10D-49DC-AAD4-C1EB7B8B8A5A}" name="historical resolution volume in word"/>
    <tableColumn id="8" xr3:uid="{0F7AD61F-2319-4E9E-8200-5476DF206BB8}" name="Historical resolution Token" dataDxfId="15" dataCellStyle="Comma"/>
    <tableColumn id="9" xr3:uid="{B0A8B7CE-DCAC-4630-A46F-D4195690136C}" name="KA"/>
    <tableColumn id="10" xr3:uid="{01EF0D36-CCB8-490D-9778-F678819BAED7}" name="KA Token" dataDxfId="14" dataCellStyle="Comm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0C6AC-8DF8-4194-BD84-198B7530FBFC}" name="Table2" displayName="Table2" ref="A7:I20" totalsRowShown="0">
  <autoFilter ref="A7:I20" xr:uid="{A360BAC3-98EC-404A-89C0-E241A14A9D9E}"/>
  <tableColumns count="9">
    <tableColumn id="1" xr3:uid="{6716A99D-ADD8-4CE5-B557-97AD5CDDFACB}" name="Agent "/>
    <tableColumn id="2" xr3:uid="{9DF1CA16-CF8B-4CE5-9C54-AC1B61E26653}" name="input token out put token rato"/>
    <tableColumn id="3" xr3:uid="{5E6AD8F5-C079-4A82-B0FE-DE3588939EF5}" name="Input Token" dataDxfId="13"/>
    <tableColumn id="4" xr3:uid="{49D395F8-6D90-4E6C-B599-410E615EA251}" name="Output token" dataDxfId="12"/>
    <tableColumn id="5" xr3:uid="{EBA29AC9-1088-460D-BC0E-D6F528E4D3CD}" name="Gemini 2.5 Pro" dataDxfId="11"/>
    <tableColumn id="6" xr3:uid="{46020D38-3313-4A79-B088-DB99B212FDAE}" name="Gemini 2.5 Flash" dataDxfId="10">
      <calculatedColumnFormula>$C8*Configuration!$C$6*Configuration!$B$4+$D8*Configuration!$C$7</calculatedColumnFormula>
    </tableColumn>
    <tableColumn id="7" xr3:uid="{6F18DC13-F383-4CB8-A353-194984221B05}" name="Gemini 2.5 Flash-Lite" dataDxfId="9">
      <calculatedColumnFormula>$C8*Configuration!$D$6*Configuration!$B$4+$D8*Configuration!$D$7</calculatedColumnFormula>
    </tableColumn>
    <tableColumn id="8" xr3:uid="{8DC4B2D1-BE75-47F3-9C39-256795B0A3A5}" name="Gemini 1.5 Pro" dataDxfId="8">
      <calculatedColumnFormula>$C8*Configuration!$E$6*Configuration!$B$4+$D8*Configuration!$E$7</calculatedColumnFormula>
    </tableColumn>
    <tableColumn id="9" xr3:uid="{4A11B523-BA69-48B1-AB9A-4E2B94A235A8}" name="Reasoning Requirement" dataDxfId="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F5A0D2-0DCD-46B2-A83E-6ED62550EDF8}" name="Table4" displayName="Table4" ref="A1:E16" totalsRowShown="0" headerRowDxfId="6" dataDxfId="5">
  <autoFilter ref="A1:E16" xr:uid="{FE53A568-3123-46EA-BE68-905D41B533AD}"/>
  <tableColumns count="5">
    <tableColumn id="1" xr3:uid="{A9715C50-E736-4165-8E3E-A74270F0DC2D}" name="Category" dataDxfId="4"/>
    <tableColumn id="2" xr3:uid="{272BD541-FA66-40DE-AC77-93FD72A035CF}" name="Gemini 2.5 Pro" dataDxfId="3"/>
    <tableColumn id="3" xr3:uid="{6D3924DA-E81E-4688-8DFA-278A8E8B5FC9}" name="Gemini 2.5 Flash" dataDxfId="2"/>
    <tableColumn id="4" xr3:uid="{405C4C86-6DB3-46C0-B3B4-68CDE78628F8}" name="Gemini 2.5 Flash Lite" dataDxfId="1"/>
    <tableColumn id="5" xr3:uid="{16F85F50-C4E2-4475-9763-FB539D2ECF57}" name="Gemini 1.5 Pr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2B4A-74CB-4A49-A54F-4465A6A8856C}">
  <dimension ref="A1:B6"/>
  <sheetViews>
    <sheetView workbookViewId="0">
      <selection activeCell="B9" sqref="B9"/>
    </sheetView>
  </sheetViews>
  <sheetFormatPr defaultRowHeight="14.45"/>
  <cols>
    <col min="1" max="1" width="21.42578125" customWidth="1"/>
    <col min="2" max="2" width="92.42578125" customWidth="1"/>
  </cols>
  <sheetData>
    <row r="1" spans="1:2">
      <c r="A1" s="11" t="s">
        <v>0</v>
      </c>
      <c r="B1" s="11" t="s">
        <v>1</v>
      </c>
    </row>
    <row r="2" spans="1:2" ht="29.1">
      <c r="A2" s="12" t="s">
        <v>2</v>
      </c>
      <c r="B2" s="13" t="s">
        <v>3</v>
      </c>
    </row>
    <row r="3" spans="1:2" ht="70.5">
      <c r="A3" s="12" t="s">
        <v>4</v>
      </c>
      <c r="B3" s="24" t="s">
        <v>5</v>
      </c>
    </row>
    <row r="4" spans="1:2" ht="57.95">
      <c r="A4" s="12" t="s">
        <v>6</v>
      </c>
      <c r="B4" s="13" t="s">
        <v>7</v>
      </c>
    </row>
    <row r="5" spans="1:2">
      <c r="A5" s="12" t="s">
        <v>8</v>
      </c>
      <c r="B5" s="13" t="s">
        <v>9</v>
      </c>
    </row>
    <row r="6" spans="1:2" ht="43.5">
      <c r="A6" s="12" t="s">
        <v>10</v>
      </c>
      <c r="B6" s="13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5630-31AA-4986-A746-57932C5E2AF8}">
  <dimension ref="A1:J22"/>
  <sheetViews>
    <sheetView zoomScale="70" zoomScaleNormal="70" workbookViewId="0">
      <selection activeCell="E3" sqref="E3"/>
    </sheetView>
  </sheetViews>
  <sheetFormatPr defaultRowHeight="14.45"/>
  <cols>
    <col min="1" max="1" width="32.7109375" customWidth="1"/>
    <col min="2" max="2" width="27.85546875" customWidth="1"/>
    <col min="3" max="3" width="28.28515625" customWidth="1"/>
    <col min="4" max="4" width="17.7109375" customWidth="1"/>
    <col min="5" max="5" width="26" customWidth="1"/>
    <col min="6" max="6" width="18.7109375" customWidth="1"/>
    <col min="7" max="7" width="21.5703125" customWidth="1"/>
    <col min="8" max="8" width="12.140625" bestFit="1" customWidth="1"/>
    <col min="10" max="10" width="14.28515625" customWidth="1"/>
  </cols>
  <sheetData>
    <row r="1" spans="1:10" ht="26.1">
      <c r="A1" s="25" t="s">
        <v>12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9.1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5" t="s">
        <v>19</v>
      </c>
      <c r="H2" t="s">
        <v>20</v>
      </c>
      <c r="I2" t="s">
        <v>21</v>
      </c>
      <c r="J2" t="s">
        <v>22</v>
      </c>
    </row>
    <row r="3" spans="1:10">
      <c r="A3" t="s">
        <v>23</v>
      </c>
      <c r="B3" s="1">
        <v>0.3</v>
      </c>
      <c r="C3">
        <v>236</v>
      </c>
      <c r="D3">
        <v>1000</v>
      </c>
      <c r="E3" s="2">
        <f>B3*C3*Configuration!$B$1*Configuration!$B$2</f>
        <v>106199.99999999999</v>
      </c>
      <c r="F3" s="2">
        <f>B3*D3*Configuration!$B$1*Configuration!$B$2</f>
        <v>450000</v>
      </c>
      <c r="G3">
        <v>450</v>
      </c>
      <c r="H3" s="2">
        <f>$B3*G3*Configuration!$B$1*Configuration!$B$2</f>
        <v>202500</v>
      </c>
      <c r="I3">
        <v>650</v>
      </c>
      <c r="J3" s="2">
        <f>$B3*I3*Configuration!$B$1*Configuration!$B$2</f>
        <v>292500</v>
      </c>
    </row>
    <row r="4" spans="1:10">
      <c r="A4" t="s">
        <v>24</v>
      </c>
      <c r="B4" s="1">
        <v>0.5</v>
      </c>
      <c r="C4">
        <v>378</v>
      </c>
      <c r="D4">
        <v>1200</v>
      </c>
      <c r="E4" s="2">
        <f>B4*C4*Configuration!$B$1*Configuration!$B$2</f>
        <v>283500</v>
      </c>
      <c r="F4" s="2">
        <f>B4*D4*Configuration!$B$1*Configuration!$B$2</f>
        <v>900000</v>
      </c>
      <c r="G4">
        <v>550</v>
      </c>
      <c r="H4" s="2">
        <f>$B4*G4*Configuration!$B$1*Configuration!$B$2</f>
        <v>412500</v>
      </c>
      <c r="I4">
        <v>850</v>
      </c>
      <c r="J4" s="2">
        <f>$B4*I4*Configuration!$B$1*Configuration!$B$2</f>
        <v>637500</v>
      </c>
    </row>
    <row r="5" spans="1:10">
      <c r="A5" t="s">
        <v>25</v>
      </c>
      <c r="B5" s="1">
        <v>0.2</v>
      </c>
      <c r="C5">
        <v>316</v>
      </c>
      <c r="D5">
        <v>700</v>
      </c>
      <c r="E5" s="2">
        <f>B5*C5*Configuration!$B$1*Configuration!$B$2</f>
        <v>94800.000000000015</v>
      </c>
      <c r="F5" s="2">
        <f>B5*D5*Configuration!$B$1*Configuration!$B$2</f>
        <v>210000</v>
      </c>
      <c r="G5">
        <v>250</v>
      </c>
      <c r="H5" s="2">
        <f>$B5*G5*Configuration!$B$1*Configuration!$B$2</f>
        <v>75000</v>
      </c>
      <c r="I5">
        <v>900</v>
      </c>
      <c r="J5" s="2">
        <f>$B5*I5*Configuration!$B$1*Configuration!$B$2</f>
        <v>270000</v>
      </c>
    </row>
    <row r="6" spans="1:10">
      <c r="D6" s="4"/>
      <c r="E6" s="4">
        <f>SUM(E3:E5)</f>
        <v>484500</v>
      </c>
      <c r="F6" s="4">
        <f>SUM(F3:F5)</f>
        <v>1560000</v>
      </c>
      <c r="H6" s="4">
        <f>SUM(H3:H5)</f>
        <v>690000</v>
      </c>
      <c r="J6" s="4">
        <f>SUM(J3:J5)</f>
        <v>1200000</v>
      </c>
    </row>
    <row r="7" spans="1:10">
      <c r="A7" t="s">
        <v>26</v>
      </c>
      <c r="B7" s="5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</row>
    <row r="8" spans="1:10">
      <c r="A8" t="s">
        <v>35</v>
      </c>
      <c r="B8" s="7">
        <v>0.2</v>
      </c>
      <c r="C8" s="3">
        <f>E6</f>
        <v>484500</v>
      </c>
      <c r="D8" s="3">
        <f t="shared" ref="D8:D18" si="0">C8*B8</f>
        <v>96900</v>
      </c>
      <c r="E8" s="8">
        <f>$C8*Configuration!$B$6*Configuration!$B$4+$D8*Configuration!$B$7</f>
        <v>1.7563125000000002</v>
      </c>
      <c r="F8" s="8">
        <f>$C8*Configuration!$C$6*Configuration!$B$4+$D8*Configuration!$C$7</f>
        <v>0.43120500000000006</v>
      </c>
      <c r="G8" s="8">
        <f>$C8*Configuration!$D$6*Configuration!$B$4+$D8*Configuration!$D$7</f>
        <v>0.10174500000000002</v>
      </c>
      <c r="H8" s="8">
        <f>$C8*Configuration!$E$6*Configuration!$B$4+$D8*Configuration!$E$7</f>
        <v>1.2718125000000002</v>
      </c>
      <c r="I8" s="8" t="s">
        <v>36</v>
      </c>
    </row>
    <row r="9" spans="1:10">
      <c r="A9" t="s">
        <v>37</v>
      </c>
      <c r="B9">
        <v>1</v>
      </c>
      <c r="C9" s="3">
        <f>E6</f>
        <v>484500</v>
      </c>
      <c r="D9" s="3">
        <f t="shared" si="0"/>
        <v>484500</v>
      </c>
      <c r="E9" s="8">
        <f>$C9*Configuration!$B$6*Configuration!$B$4+$D9*Configuration!$B$7</f>
        <v>5.6323125000000012</v>
      </c>
      <c r="F9" s="8">
        <f>$C9*Configuration!$C$6*Configuration!$B$4+$D9*Configuration!$C$7</f>
        <v>1.4002050000000001</v>
      </c>
      <c r="G9" s="3">
        <f>$C9*Configuration!$D$6*Configuration!$B$4+$D9*Configuration!$D$7</f>
        <v>0.25678500000000004</v>
      </c>
      <c r="H9" s="8">
        <f>$C9*Configuration!$E$6*Configuration!$B$4+$D9*Configuration!$E$7</f>
        <v>3.2098125000000004</v>
      </c>
      <c r="I9" s="8" t="s">
        <v>38</v>
      </c>
    </row>
    <row r="10" spans="1:10">
      <c r="A10" t="s">
        <v>39</v>
      </c>
      <c r="B10" s="7">
        <v>0.2</v>
      </c>
      <c r="C10" s="3">
        <f>E6+D8</f>
        <v>581400</v>
      </c>
      <c r="D10" s="3">
        <f t="shared" si="0"/>
        <v>116280</v>
      </c>
      <c r="E10" s="8">
        <f>C10*Configuration!$B$6+D10*Configuration!$B$7</f>
        <v>1.8895500000000001</v>
      </c>
      <c r="F10" s="8">
        <f>$C10*Configuration!$C$6*Configuration!$B$4+$D10*Configuration!$C$7</f>
        <v>0.51744600000000007</v>
      </c>
      <c r="G10" s="3">
        <f>$C10*Configuration!$D$6*Configuration!$B$4+$D10*Configuration!$D$7</f>
        <v>0.12209400000000001</v>
      </c>
      <c r="H10" s="8">
        <f>$C10*Configuration!$E$6*Configuration!$B$4+$D10*Configuration!$E$7</f>
        <v>1.5261750000000001</v>
      </c>
      <c r="I10" s="8" t="s">
        <v>38</v>
      </c>
    </row>
    <row r="11" spans="1:10">
      <c r="A11" t="s">
        <v>40</v>
      </c>
      <c r="B11">
        <v>0.4</v>
      </c>
      <c r="C11" s="3">
        <f>F6+D8</f>
        <v>1656900</v>
      </c>
      <c r="D11" s="3">
        <f t="shared" si="0"/>
        <v>662760</v>
      </c>
      <c r="E11" s="8">
        <f>C11*Configuration!$B$6+D11*Configuration!$B$7</f>
        <v>8.6987249999999996</v>
      </c>
      <c r="F11" s="8">
        <f>$C11*Configuration!$C$6*Configuration!$B$4+$D11*Configuration!$C$7</f>
        <v>2.3030910000000002</v>
      </c>
      <c r="G11" s="3">
        <f>$C11*Configuration!$D$6*Configuration!$B$4+$D11*Configuration!$D$7</f>
        <v>0.48050100000000001</v>
      </c>
      <c r="H11" s="8">
        <f>$C11*Configuration!$E$6*Configuration!$B$4+$D11*Configuration!$E$7</f>
        <v>6.0062625000000001</v>
      </c>
      <c r="I11" s="8" t="s">
        <v>36</v>
      </c>
    </row>
    <row r="12" spans="1:10">
      <c r="A12" t="s">
        <v>41</v>
      </c>
      <c r="B12">
        <v>0.5</v>
      </c>
      <c r="C12" s="3">
        <f>D11</f>
        <v>662760</v>
      </c>
      <c r="D12" s="3">
        <f t="shared" si="0"/>
        <v>331380</v>
      </c>
      <c r="E12" s="8">
        <f>C12*Configuration!$B$6+D12*Configuration!$B$7</f>
        <v>4.1422499999999998</v>
      </c>
      <c r="F12" s="8">
        <f>$C12*Configuration!$C$6*Configuration!$B$4+$D12*Configuration!$C$7</f>
        <v>1.0869264000000001</v>
      </c>
      <c r="G12" s="3">
        <f>$C12*Configuration!$D$6*Configuration!$B$4+$D12*Configuration!$D$7</f>
        <v>0.21871080000000001</v>
      </c>
      <c r="H12" s="8">
        <f>$C12*Configuration!$E$6*Configuration!$B$4+$D12*Configuration!$E$7</f>
        <v>2.7338849999999999</v>
      </c>
      <c r="I12" s="8" t="s">
        <v>36</v>
      </c>
    </row>
    <row r="13" spans="1:10">
      <c r="A13" t="s">
        <v>42</v>
      </c>
      <c r="B13">
        <v>0.8</v>
      </c>
      <c r="C13" s="3">
        <f>J6+D12</f>
        <v>1531380</v>
      </c>
      <c r="D13" s="3">
        <f t="shared" si="0"/>
        <v>1225104</v>
      </c>
      <c r="E13" s="8">
        <f>C13*Configuration!$B$6+D13*Configuration!$B$7</f>
        <v>14.165265000000002</v>
      </c>
      <c r="F13" s="8">
        <f>$C13*Configuration!$C$6*Configuration!$B$4+$D13*Configuration!$C$7</f>
        <v>3.6599982000000004</v>
      </c>
      <c r="G13" s="3">
        <f>$C13*Configuration!$D$6*Configuration!$B$4+$D13*Configuration!$D$7</f>
        <v>0.68912100000000009</v>
      </c>
      <c r="H13" s="8">
        <f>$C13*Configuration!$E$6*Configuration!$B$4+$D13*Configuration!$E$7</f>
        <v>8.6140125000000012</v>
      </c>
      <c r="I13" s="8" t="s">
        <v>38</v>
      </c>
    </row>
    <row r="14" spans="1:10">
      <c r="A14" t="s">
        <v>43</v>
      </c>
      <c r="B14">
        <v>0.5</v>
      </c>
      <c r="C14" s="3">
        <f>H6*Configuration!B3</f>
        <v>3450000</v>
      </c>
      <c r="D14" s="3">
        <f t="shared" si="0"/>
        <v>1725000</v>
      </c>
      <c r="E14" s="8">
        <f>C14*Configuration!$B$6+D14*Configuration!$B$7</f>
        <v>21.5625</v>
      </c>
      <c r="F14" s="8">
        <f>$C14*Configuration!$C$6*Configuration!$B$4+$D14*Configuration!$C$7</f>
        <v>5.6579999999999995</v>
      </c>
      <c r="G14" s="3">
        <f>$C14*Configuration!$D$6*Configuration!$B$4+$D14*Configuration!$D$7</f>
        <v>1.1385000000000001</v>
      </c>
      <c r="H14" s="8">
        <f>$C14*Configuration!$E$6*Configuration!$B$4+$D14*Configuration!$E$7</f>
        <v>14.231249999999999</v>
      </c>
      <c r="I14" s="8" t="s">
        <v>38</v>
      </c>
    </row>
    <row r="15" spans="1:10">
      <c r="A15" t="s">
        <v>44</v>
      </c>
      <c r="B15">
        <v>1</v>
      </c>
      <c r="C15" s="3">
        <f>D13+D14</f>
        <v>2950104</v>
      </c>
      <c r="D15" s="3">
        <f t="shared" si="0"/>
        <v>2950104</v>
      </c>
      <c r="E15" s="8">
        <f>C15*Configuration!$B$6+D15*Configuration!$B$7</f>
        <v>33.188670000000002</v>
      </c>
      <c r="F15" s="8">
        <f>$C15*Configuration!$C$6*Configuration!$B$4+$D15*Configuration!$C$7</f>
        <v>8.5258005600000004</v>
      </c>
      <c r="G15" s="3">
        <f>$C15*Configuration!$D$6*Configuration!$B$4+$D15*Configuration!$D$7</f>
        <v>1.56355512</v>
      </c>
      <c r="H15" s="8">
        <f>$C15*Configuration!$E$6*Configuration!$B$4+$D15*Configuration!$E$7</f>
        <v>19.544439000000004</v>
      </c>
      <c r="I15" s="8" t="s">
        <v>36</v>
      </c>
    </row>
    <row r="16" spans="1:10">
      <c r="A16" t="s">
        <v>45</v>
      </c>
      <c r="B16">
        <v>0.2</v>
      </c>
      <c r="C16" s="3">
        <f>D12</f>
        <v>331380</v>
      </c>
      <c r="D16" s="3">
        <f t="shared" si="0"/>
        <v>66276</v>
      </c>
      <c r="E16" s="8">
        <f>C16*Configuration!$B$6+D16*Configuration!$B$7</f>
        <v>1.0769850000000001</v>
      </c>
      <c r="F16" s="8">
        <f>$C16*Configuration!$C$6*Configuration!$B$4+$D16*Configuration!$C$7</f>
        <v>0.29492819999999997</v>
      </c>
      <c r="G16" s="3">
        <f>$C16*Configuration!$D$6*Configuration!$B$4+$D16*Configuration!$D$7</f>
        <v>6.9589800000000007E-2</v>
      </c>
      <c r="H16" s="8">
        <f>$C16*Configuration!$E$6*Configuration!$B$4+$D16*Configuration!$E$7</f>
        <v>0.86987250000000005</v>
      </c>
      <c r="I16" s="8" t="s">
        <v>36</v>
      </c>
    </row>
    <row r="17" spans="1:9">
      <c r="A17" t="s">
        <v>46</v>
      </c>
      <c r="B17">
        <v>0.2</v>
      </c>
      <c r="C17" s="3">
        <f>D12</f>
        <v>331380</v>
      </c>
      <c r="D17" s="3">
        <f t="shared" si="0"/>
        <v>66276</v>
      </c>
      <c r="E17" s="8">
        <f>C17*Configuration!$B$6+D17*Configuration!$B$7</f>
        <v>1.0769850000000001</v>
      </c>
      <c r="F17" s="8">
        <f>$C17*Configuration!$C$6*Configuration!$B$4+$D17*Configuration!$C$7</f>
        <v>0.29492819999999997</v>
      </c>
      <c r="G17" s="3">
        <f>$C17*Configuration!$D$6*Configuration!$B$4+$D17*Configuration!$D$7</f>
        <v>6.9589800000000007E-2</v>
      </c>
      <c r="H17" s="8">
        <f>$C17*Configuration!$E$6*Configuration!$B$4+$D17*Configuration!$E$7</f>
        <v>0.86987250000000005</v>
      </c>
      <c r="I17" s="8" t="s">
        <v>38</v>
      </c>
    </row>
    <row r="18" spans="1:9">
      <c r="A18" t="s">
        <v>47</v>
      </c>
      <c r="B18">
        <v>1.1000000000000001</v>
      </c>
      <c r="C18" s="3">
        <f>D17+D16+D15+D14+D13+D12+D11+D10+D9+D8</f>
        <v>7724580</v>
      </c>
      <c r="D18" s="3">
        <f t="shared" si="0"/>
        <v>8497038</v>
      </c>
      <c r="E18" s="8">
        <f>C18*Configuration!$B$6+D18*Configuration!$B$7</f>
        <v>94.62610500000001</v>
      </c>
      <c r="F18" s="8">
        <f>$C18*Configuration!$C$6*Configuration!$B$4+$D18*Configuration!$C$7</f>
        <v>24.255181200000003</v>
      </c>
      <c r="G18" s="3">
        <f>$C18*Configuration!$D$6*Configuration!$B$4+$D18*Configuration!$D$7</f>
        <v>4.4030106000000009</v>
      </c>
      <c r="H18" s="8">
        <f>$C18*Configuration!$E$6*Configuration!$B$4+$D18*Configuration!$E$7</f>
        <v>55.037632500000001</v>
      </c>
      <c r="I18" s="8" t="s">
        <v>48</v>
      </c>
    </row>
    <row r="19" spans="1:9">
      <c r="C19" s="4">
        <f>SUM(C8:C17)</f>
        <v>12464304</v>
      </c>
      <c r="D19" s="4">
        <f>SUM(D8:D18)</f>
        <v>16221618</v>
      </c>
      <c r="E19" s="9">
        <f>SUM(E8:E18)</f>
        <v>187.81565999999998</v>
      </c>
      <c r="F19" s="14">
        <f>$C19*Configuration!$C$6*Configuration!$B$4+$D19*Configuration!$C$7</f>
        <v>45.415123560000005</v>
      </c>
      <c r="G19" s="4">
        <f>$C19*Configuration!$D$6*Configuration!$B$4+$D19*Configuration!$D$7</f>
        <v>8.1090067200000018</v>
      </c>
      <c r="H19" s="14">
        <f>$C19*Configuration!$E$6*Configuration!$B$4+$D19*Configuration!$E$7</f>
        <v>101.362584</v>
      </c>
      <c r="I19" s="8"/>
    </row>
    <row r="20" spans="1:9">
      <c r="C20" s="3">
        <v>12464304</v>
      </c>
      <c r="D20" s="3">
        <v>16221618</v>
      </c>
      <c r="E20" s="8"/>
      <c r="F20" s="8">
        <f>$C20*Configuration!$C$6*Configuration!$B$4+$D20*Configuration!$C$7</f>
        <v>45.415123560000005</v>
      </c>
      <c r="G20" s="8">
        <f>$C20*Configuration!$D$6*Configuration!$B$4+$D20*Configuration!$D$7</f>
        <v>8.1090067200000018</v>
      </c>
      <c r="H20" s="8">
        <f>$C20*Configuration!$E$6*Configuration!$B$4+$D20*Configuration!$E$7</f>
        <v>101.362584</v>
      </c>
      <c r="I20" s="8"/>
    </row>
    <row r="21" spans="1:9" ht="36.950000000000003">
      <c r="A21" s="21" t="str">
        <f>_xlfn.CONCAT("LLM cost  Per ",Configuration!$B$2," ticket using ",Configuration!B5:B5)</f>
        <v>LLM cost  Per 1000 ticket using Gemini 2.5 Pro</v>
      </c>
      <c r="B21" s="22" t="str">
        <f>_xlfn.CONCAT("$",ROUND($E$19*(1-Configuration!$B$8),2)," -  $",ROUND($E$19*(1+Configuration!$B$8),2))</f>
        <v>$150.25 -  $225.38</v>
      </c>
      <c r="C21" s="23"/>
      <c r="D21" s="10"/>
    </row>
    <row r="22" spans="1:9">
      <c r="B22" t="s">
        <v>49</v>
      </c>
    </row>
  </sheetData>
  <mergeCells count="1">
    <mergeCell ref="A1:J1"/>
  </mergeCells>
  <pageMargins left="0.7" right="0.7" top="0.75" bottom="0.75" header="0.3" footer="0.3"/>
  <pageSetup paperSize="9" orientation="portrait" horizontalDpi="4294967293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E190-2FDC-4C06-994E-099E1C5E9111}">
  <dimension ref="A1:E8"/>
  <sheetViews>
    <sheetView tabSelected="1" workbookViewId="0">
      <selection activeCell="E7" sqref="E7"/>
    </sheetView>
  </sheetViews>
  <sheetFormatPr defaultRowHeight="14.45"/>
  <cols>
    <col min="1" max="1" width="22.140625" customWidth="1"/>
    <col min="2" max="2" width="23.140625" customWidth="1"/>
    <col min="3" max="3" width="26.5703125" customWidth="1"/>
    <col min="4" max="4" width="48.7109375" customWidth="1"/>
    <col min="5" max="5" width="12.85546875" customWidth="1"/>
  </cols>
  <sheetData>
    <row r="1" spans="1:5">
      <c r="A1" t="s">
        <v>50</v>
      </c>
      <c r="B1">
        <v>1.5</v>
      </c>
    </row>
    <row r="2" spans="1:5">
      <c r="A2" t="s">
        <v>51</v>
      </c>
      <c r="B2">
        <v>1000</v>
      </c>
    </row>
    <row r="3" spans="1:5">
      <c r="A3" t="s">
        <v>52</v>
      </c>
      <c r="B3">
        <v>5</v>
      </c>
    </row>
    <row r="4" spans="1:5">
      <c r="A4" t="s">
        <v>53</v>
      </c>
      <c r="B4">
        <v>1.3</v>
      </c>
    </row>
    <row r="5" spans="1:5">
      <c r="A5" t="s">
        <v>54</v>
      </c>
      <c r="B5" t="s">
        <v>30</v>
      </c>
      <c r="C5" t="s">
        <v>31</v>
      </c>
      <c r="D5" t="s">
        <v>32</v>
      </c>
      <c r="E5" t="s">
        <v>33</v>
      </c>
    </row>
    <row r="6" spans="1:5">
      <c r="A6" t="s">
        <v>55</v>
      </c>
      <c r="B6">
        <f>1.25/1000000</f>
        <v>1.2500000000000001E-6</v>
      </c>
      <c r="C6">
        <f>0.3/(1000000)</f>
        <v>2.9999999999999999E-7</v>
      </c>
      <c r="D6">
        <f>0.1/(1000000)</f>
        <v>1.0000000000000001E-7</v>
      </c>
      <c r="E6">
        <f>1.25/1000000</f>
        <v>1.2500000000000001E-6</v>
      </c>
    </row>
    <row r="7" spans="1:5">
      <c r="A7" t="s">
        <v>56</v>
      </c>
      <c r="B7">
        <f>10/1000000</f>
        <v>1.0000000000000001E-5</v>
      </c>
      <c r="C7">
        <f>2.5/(1000000)</f>
        <v>2.5000000000000002E-6</v>
      </c>
      <c r="D7">
        <f>0.4/(1000000)</f>
        <v>4.0000000000000003E-7</v>
      </c>
      <c r="E7">
        <f>5/1000000</f>
        <v>5.0000000000000004E-6</v>
      </c>
    </row>
    <row r="8" spans="1:5">
      <c r="A8" t="s">
        <v>57</v>
      </c>
      <c r="B8" s="6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BC03-7EC4-4025-B801-A2537E58A91C}">
  <dimension ref="A1:E16"/>
  <sheetViews>
    <sheetView workbookViewId="0">
      <selection activeCell="E6" sqref="E6"/>
    </sheetView>
  </sheetViews>
  <sheetFormatPr defaultRowHeight="14.45"/>
  <cols>
    <col min="1" max="1" width="17" style="19" customWidth="1"/>
    <col min="2" max="2" width="28.28515625" style="19" customWidth="1"/>
    <col min="3" max="3" width="27.85546875" style="19" customWidth="1"/>
    <col min="4" max="4" width="36.140625" style="19" customWidth="1"/>
    <col min="5" max="5" width="35.7109375" style="19" customWidth="1"/>
  </cols>
  <sheetData>
    <row r="1" spans="1:5">
      <c r="A1" s="20" t="s">
        <v>58</v>
      </c>
      <c r="B1" s="20" t="s">
        <v>30</v>
      </c>
      <c r="C1" s="20" t="s">
        <v>31</v>
      </c>
      <c r="D1" s="20" t="s">
        <v>59</v>
      </c>
      <c r="E1" s="20" t="s">
        <v>33</v>
      </c>
    </row>
    <row r="2" spans="1:5" ht="24.95">
      <c r="A2" s="15" t="s">
        <v>60</v>
      </c>
      <c r="B2" s="16" t="s">
        <v>61</v>
      </c>
      <c r="C2" s="16" t="s">
        <v>62</v>
      </c>
      <c r="D2" s="16" t="s">
        <v>63</v>
      </c>
      <c r="E2" s="16" t="s">
        <v>64</v>
      </c>
    </row>
    <row r="3" spans="1:5" ht="39.950000000000003">
      <c r="A3" s="15" t="s">
        <v>65</v>
      </c>
      <c r="B3" s="17" t="s">
        <v>66</v>
      </c>
      <c r="C3" s="17" t="s">
        <v>67</v>
      </c>
      <c r="D3" s="17" t="s">
        <v>68</v>
      </c>
      <c r="E3" s="17" t="s">
        <v>69</v>
      </c>
    </row>
    <row r="4" spans="1:5" ht="24.95">
      <c r="A4" s="15" t="s">
        <v>70</v>
      </c>
      <c r="B4" s="16" t="s">
        <v>71</v>
      </c>
      <c r="C4" s="16" t="s">
        <v>71</v>
      </c>
      <c r="D4" s="16" t="s">
        <v>72</v>
      </c>
      <c r="E4" s="16" t="s">
        <v>73</v>
      </c>
    </row>
    <row r="5" spans="1:5" ht="37.5">
      <c r="A5" s="15" t="s">
        <v>74</v>
      </c>
      <c r="B5" s="16" t="s">
        <v>75</v>
      </c>
      <c r="C5" s="16" t="s">
        <v>76</v>
      </c>
      <c r="D5" s="16" t="s">
        <v>77</v>
      </c>
      <c r="E5" s="16" t="s">
        <v>78</v>
      </c>
    </row>
    <row r="6" spans="1:5" ht="39.950000000000003">
      <c r="A6" s="15" t="s">
        <v>79</v>
      </c>
      <c r="B6" s="17" t="s">
        <v>80</v>
      </c>
      <c r="C6" s="17" t="s">
        <v>81</v>
      </c>
      <c r="D6" s="17" t="s">
        <v>82</v>
      </c>
      <c r="E6" s="17" t="s">
        <v>83</v>
      </c>
    </row>
    <row r="7" spans="1:5" ht="26.1">
      <c r="A7" s="15" t="s">
        <v>84</v>
      </c>
      <c r="B7" s="16" t="s">
        <v>85</v>
      </c>
      <c r="C7" s="16" t="s">
        <v>86</v>
      </c>
      <c r="D7" s="16" t="s">
        <v>87</v>
      </c>
      <c r="E7" s="16" t="s">
        <v>88</v>
      </c>
    </row>
    <row r="8" spans="1:5" ht="39">
      <c r="A8" s="15" t="s">
        <v>89</v>
      </c>
      <c r="B8" s="16" t="s">
        <v>90</v>
      </c>
      <c r="C8" s="16" t="s">
        <v>91</v>
      </c>
      <c r="D8" s="16" t="s">
        <v>92</v>
      </c>
      <c r="E8" s="16" t="s">
        <v>93</v>
      </c>
    </row>
    <row r="9" spans="1:5" ht="26.1">
      <c r="A9" s="15" t="s">
        <v>94</v>
      </c>
      <c r="B9" s="16" t="s">
        <v>95</v>
      </c>
      <c r="C9" s="16" t="s">
        <v>96</v>
      </c>
      <c r="D9" s="16" t="s">
        <v>97</v>
      </c>
      <c r="E9" s="16" t="s">
        <v>98</v>
      </c>
    </row>
    <row r="10" spans="1:5" ht="39">
      <c r="A10" s="15" t="s">
        <v>99</v>
      </c>
      <c r="B10" s="16" t="s">
        <v>100</v>
      </c>
      <c r="C10" s="16" t="s">
        <v>101</v>
      </c>
      <c r="D10" s="16" t="s">
        <v>102</v>
      </c>
      <c r="E10" s="16" t="s">
        <v>103</v>
      </c>
    </row>
    <row r="11" spans="1:5" ht="26.1">
      <c r="A11" s="15" t="s">
        <v>104</v>
      </c>
      <c r="B11" s="16" t="s">
        <v>105</v>
      </c>
      <c r="C11" s="16" t="s">
        <v>106</v>
      </c>
      <c r="D11" s="16" t="s">
        <v>107</v>
      </c>
      <c r="E11" s="16" t="s">
        <v>108</v>
      </c>
    </row>
    <row r="12" spans="1:5" ht="39">
      <c r="A12" s="15" t="s">
        <v>109</v>
      </c>
      <c r="B12" s="17" t="s">
        <v>110</v>
      </c>
      <c r="C12" s="17" t="s">
        <v>111</v>
      </c>
      <c r="D12" s="18" t="s">
        <v>112</v>
      </c>
      <c r="E12" s="18" t="s">
        <v>113</v>
      </c>
    </row>
    <row r="13" spans="1:5" ht="27.6">
      <c r="A13" s="15" t="s">
        <v>114</v>
      </c>
      <c r="B13" s="17" t="s">
        <v>115</v>
      </c>
      <c r="C13" s="17" t="s">
        <v>116</v>
      </c>
      <c r="D13" s="17" t="s">
        <v>117</v>
      </c>
      <c r="E13" s="17" t="s">
        <v>118</v>
      </c>
    </row>
    <row r="14" spans="1:5" ht="26.1">
      <c r="A14" s="15" t="s">
        <v>119</v>
      </c>
      <c r="B14" s="16" t="s">
        <v>120</v>
      </c>
      <c r="C14" s="16" t="s">
        <v>121</v>
      </c>
      <c r="D14" s="16" t="s">
        <v>122</v>
      </c>
      <c r="E14" s="16" t="s">
        <v>123</v>
      </c>
    </row>
    <row r="15" spans="1:5" ht="26.1">
      <c r="A15" s="15" t="s">
        <v>124</v>
      </c>
      <c r="B15" s="16" t="s">
        <v>125</v>
      </c>
      <c r="C15" s="16" t="s">
        <v>126</v>
      </c>
      <c r="D15" s="16" t="s">
        <v>127</v>
      </c>
      <c r="E15" s="16" t="s">
        <v>128</v>
      </c>
    </row>
    <row r="16" spans="1:5" ht="26.1">
      <c r="A16" s="15" t="s">
        <v>129</v>
      </c>
      <c r="B16" s="16" t="s">
        <v>130</v>
      </c>
      <c r="C16" s="16" t="s">
        <v>131</v>
      </c>
      <c r="D16" s="16" t="s">
        <v>132</v>
      </c>
      <c r="E16" s="16" t="s">
        <v>133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Aditya Ganguly</cp:lastModifiedBy>
  <cp:revision/>
  <dcterms:created xsi:type="dcterms:W3CDTF">2025-10-13T19:03:22Z</dcterms:created>
  <dcterms:modified xsi:type="dcterms:W3CDTF">2026-06-19T07:21:18Z</dcterms:modified>
  <cp:category/>
  <cp:contentStatus/>
</cp:coreProperties>
</file>